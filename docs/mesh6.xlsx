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DATA\LITHIUM\GITHUB\ogs-lithium-model\"/>
    </mc:Choice>
  </mc:AlternateContent>
  <xr:revisionPtr revIDLastSave="0" documentId="13_ncr:1_{87447779-93F4-4E75-A184-45F46873B7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sh6_10x10x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1" l="1"/>
  <c r="Q22" i="1"/>
  <c r="N23" i="1"/>
  <c r="L13" i="1"/>
  <c r="O13" i="1" s="1"/>
  <c r="AA7" i="1" s="1"/>
  <c r="M13" i="1"/>
  <c r="P13" i="1" s="1"/>
  <c r="AB7" i="1" s="1"/>
  <c r="N13" i="1"/>
  <c r="Q13" i="1" s="1"/>
  <c r="L18" i="1"/>
  <c r="O18" i="1" s="1"/>
  <c r="L17" i="1"/>
  <c r="O17" i="1" s="1"/>
  <c r="AA11" i="1" s="1"/>
  <c r="L16" i="1"/>
  <c r="O16" i="1" s="1"/>
  <c r="AA10" i="1" s="1"/>
  <c r="L15" i="1"/>
  <c r="O15" i="1" s="1"/>
  <c r="AA9" i="1" s="1"/>
  <c r="L14" i="1"/>
  <c r="O14" i="1" s="1"/>
  <c r="AA8" i="1" s="1"/>
  <c r="M17" i="1"/>
  <c r="P17" i="1" s="1"/>
  <c r="AB11" i="1" s="1"/>
  <c r="M16" i="1"/>
  <c r="P16" i="1" s="1"/>
  <c r="AB10" i="1" s="1"/>
  <c r="M15" i="1"/>
  <c r="P15" i="1" s="1"/>
  <c r="AB9" i="1" s="1"/>
  <c r="M14" i="1"/>
  <c r="P14" i="1" s="1"/>
  <c r="AB8" i="1" s="1"/>
  <c r="M18" i="1"/>
  <c r="P18" i="1" s="1"/>
  <c r="N18" i="1"/>
  <c r="Q18" i="1" s="1"/>
  <c r="N17" i="1"/>
  <c r="Q17" i="1" s="1"/>
  <c r="AC11" i="1" s="1"/>
  <c r="N16" i="1"/>
  <c r="Q16" i="1" s="1"/>
  <c r="AC10" i="1" s="1"/>
  <c r="N15" i="1"/>
  <c r="Q15" i="1" s="1"/>
  <c r="AC9" i="1" s="1"/>
  <c r="N14" i="1"/>
  <c r="Q14" i="1" s="1"/>
  <c r="AC8" i="1" l="1"/>
  <c r="AC7" i="1"/>
</calcChain>
</file>

<file path=xl/sharedStrings.xml><?xml version="1.0" encoding="utf-8"?>
<sst xmlns="http://schemas.openxmlformats.org/spreadsheetml/2006/main" count="172" uniqueCount="94">
  <si>
    <t>x</t>
  </si>
  <si>
    <t>y</t>
  </si>
  <si>
    <t>z</t>
  </si>
  <si>
    <t>dx</t>
  </si>
  <si>
    <t>dz</t>
  </si>
  <si>
    <t>coord</t>
  </si>
  <si>
    <t>length</t>
  </si>
  <si>
    <t>z0</t>
  </si>
  <si>
    <t>z1</t>
  </si>
  <si>
    <t>z2</t>
  </si>
  <si>
    <t>z3</t>
  </si>
  <si>
    <t>z4</t>
  </si>
  <si>
    <t>z5</t>
  </si>
  <si>
    <t>lx</t>
  </si>
  <si>
    <t>ly</t>
  </si>
  <si>
    <t>layer 5</t>
  </si>
  <si>
    <t>layer 4</t>
  </si>
  <si>
    <t>layer 3</t>
  </si>
  <si>
    <t>layer 1</t>
  </si>
  <si>
    <t xml:space="preserve">dy </t>
  </si>
  <si>
    <t>Center of gravity</t>
  </si>
  <si>
    <t>addBox(start_corner_x, start_corner_y, start_corner_z, size_x, size_y, size_z)</t>
  </si>
  <si>
    <t>layer 2</t>
  </si>
  <si>
    <t>well1</t>
  </si>
  <si>
    <t>well2</t>
  </si>
  <si>
    <t>upper</t>
  </si>
  <si>
    <t>middle</t>
  </si>
  <si>
    <t>bottom</t>
  </si>
  <si>
    <t>well 1</t>
  </si>
  <si>
    <t>well 2</t>
  </si>
  <si>
    <t>1x1x2.5</t>
  </si>
  <si>
    <t>9x9x2.5</t>
  </si>
  <si>
    <t>rw = 0.2</t>
  </si>
  <si>
    <t>tag</t>
  </si>
  <si>
    <t>GMSH</t>
  </si>
  <si>
    <t>TYPE</t>
  </si>
  <si>
    <t>top</t>
  </si>
  <si>
    <t>caprock1</t>
  </si>
  <si>
    <t>reservoir</t>
  </si>
  <si>
    <t>caprock2</t>
  </si>
  <si>
    <t>FRAGMENTATION</t>
  </si>
  <si>
    <t>NAME</t>
  </si>
  <si>
    <t>CENTER OF MASS (COM)</t>
  </si>
  <si>
    <t>ENTITY - VOLUME (3)</t>
  </si>
  <si>
    <t>PHYSICAL GROUPS</t>
  </si>
  <si>
    <t>Thresold</t>
  </si>
  <si>
    <t>ENTITY - SURFACE (2)</t>
  </si>
  <si>
    <t>SURF (2)</t>
  </si>
  <si>
    <t>well 1_top</t>
  </si>
  <si>
    <t>well1_compl</t>
  </si>
  <si>
    <t>well 2_top</t>
  </si>
  <si>
    <t>well2_compl</t>
  </si>
  <si>
    <t>VOL (3)</t>
  </si>
  <si>
    <t>BOUNDARIES</t>
  </si>
  <si>
    <t>Left</t>
  </si>
  <si>
    <t>Vol (3)</t>
  </si>
  <si>
    <t>Layer1_Top</t>
  </si>
  <si>
    <t>Layer2_caprock1</t>
  </si>
  <si>
    <t>Layer3_Reservoir</t>
  </si>
  <si>
    <t>Layer4_caprock2</t>
  </si>
  <si>
    <t>Layer5_bottom</t>
  </si>
  <si>
    <t>Left boundary
 Xmin = 0</t>
  </si>
  <si>
    <t>Right boundary
 Xmax = 10</t>
  </si>
  <si>
    <t>Right</t>
  </si>
  <si>
    <t>Front boundary
Ymin = 0</t>
  </si>
  <si>
    <t>Front</t>
  </si>
  <si>
    <t>LAYERS</t>
  </si>
  <si>
    <t>WELLS</t>
  </si>
  <si>
    <t>Back boundary
Ymax = 10</t>
  </si>
  <si>
    <t>Back</t>
  </si>
  <si>
    <t>Top</t>
  </si>
  <si>
    <t>Bottom boundary
Zmin = 0</t>
  </si>
  <si>
    <t>Top boundary
Zmax = 5</t>
  </si>
  <si>
    <t>Bottom</t>
  </si>
  <si>
    <t>3 101 Layer5_bottom</t>
  </si>
  <si>
    <t>3 102 Layer4_caprock2</t>
  </si>
  <si>
    <t>3 103 Layer3_Reservoir</t>
  </si>
  <si>
    <t>3 104 Layer2_caprock1</t>
  </si>
  <si>
    <t>3 105 Layer1_Top</t>
  </si>
  <si>
    <t>3 201 Well1</t>
  </si>
  <si>
    <t>3 202 Well1_upper</t>
  </si>
  <si>
    <t>3 203 Well1_middle</t>
  </si>
  <si>
    <t>3 204 Well1_bottom</t>
  </si>
  <si>
    <t>3 205 Well2</t>
  </si>
  <si>
    <t>3 206 Well2_upper</t>
  </si>
  <si>
    <t>3 207 Well2_middle</t>
  </si>
  <si>
    <t>3 208 Well2_bottom</t>
  </si>
  <si>
    <t>Length: meters</t>
  </si>
  <si>
    <t>Time: seconds</t>
  </si>
  <si>
    <t>Pressure: Pascal</t>
  </si>
  <si>
    <t>Permeability: m²</t>
  </si>
  <si>
    <t>Viscosity: Pa·s</t>
  </si>
  <si>
    <t>Density: kg/m³</t>
  </si>
  <si>
    <t>Porosity: dimensionless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</si>
</sst>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7" fillId="0" borderId="0" xfId="0" applyFont="1"/>
    <xf numFmtId="0" fontId="0" fillId="8" borderId="0" xfId="0" applyFill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/>
    <xf numFmtId="0" fontId="1" fillId="0" borderId="0" xfId="0" applyFont="1" applyBorder="1" applyAlignment="1">
      <alignment horizontal="right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244929</xdr:colOff>
      <xdr:row>15</xdr:row>
      <xdr:rowOff>176893</xdr:rowOff>
    </xdr:from>
    <xdr:to>
      <xdr:col>1</xdr:col>
      <xdr:colOff>612321</xdr:colOff>
      <xdr:row>17</xdr:row>
      <xdr:rowOff>136071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DAD6BF31-8E97-4AC8-895E-963522B53CDE}"/>
            </a:ext>
          </a:extLst>
        </xdr:cNvPr>
        <xdr:cNvSpPr/>
      </xdr:nvSpPr>
      <xdr:spPr>
        <a:xfrm>
          <a:off x="898072" y="3075214"/>
          <a:ext cx="367392" cy="35378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111578</xdr:colOff>
      <xdr:row>25</xdr:row>
      <xdr:rowOff>16328</xdr:rowOff>
    </xdr:from>
    <xdr:to>
      <xdr:col>5</xdr:col>
      <xdr:colOff>478970</xdr:colOff>
      <xdr:row>26</xdr:row>
      <xdr:rowOff>179614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12A5CB8-8A44-4DF1-876C-E3202803D7AA}"/>
            </a:ext>
          </a:extLst>
        </xdr:cNvPr>
        <xdr:cNvSpPr/>
      </xdr:nvSpPr>
      <xdr:spPr>
        <a:xfrm>
          <a:off x="3377292" y="4833257"/>
          <a:ext cx="367392" cy="35378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0"/>
  <sheetViews>
    <sheetView tabSelected="1" zoomScale="70" zoomScaleNormal="70" workbookViewId="0">
      <selection activeCell="P4" sqref="P4"/>
    </sheetView>
  </sheetViews>
  <sheetFormatPr baseColWidth="10" defaultRowHeight="15" x14ac:dyDescent="0.25"/>
  <cols>
    <col min="1" max="8" width="9.7109375" customWidth="1"/>
    <col min="9" max="9" width="14.42578125" customWidth="1"/>
    <col min="10" max="18" width="9.7109375" customWidth="1"/>
    <col min="19" max="19" width="3.42578125" style="49" customWidth="1"/>
    <col min="20" max="20" width="10.5703125" style="47" customWidth="1"/>
    <col min="23" max="23" width="17" customWidth="1"/>
    <col min="24" max="24" width="15.42578125" customWidth="1"/>
    <col min="36" max="36" width="17.140625" customWidth="1"/>
  </cols>
  <sheetData>
    <row r="1" spans="1:46" ht="21" x14ac:dyDescent="0.35">
      <c r="U1" s="12" t="s">
        <v>40</v>
      </c>
    </row>
    <row r="2" spans="1:46" x14ac:dyDescent="0.25">
      <c r="B2" s="6" t="s">
        <v>13</v>
      </c>
      <c r="C2" s="6">
        <v>10</v>
      </c>
      <c r="E2" s="7" t="s">
        <v>14</v>
      </c>
      <c r="F2" s="7">
        <v>10</v>
      </c>
      <c r="G2" s="8"/>
      <c r="H2" s="32"/>
      <c r="I2" s="32"/>
      <c r="J2" s="32"/>
      <c r="K2" s="32"/>
      <c r="L2" s="32"/>
      <c r="M2" s="32"/>
      <c r="N2" s="33"/>
      <c r="O2" s="33"/>
      <c r="P2" s="32"/>
      <c r="Q2" s="32"/>
      <c r="R2" s="33"/>
      <c r="U2" s="10" t="s">
        <v>34</v>
      </c>
      <c r="V2" s="23" t="s">
        <v>44</v>
      </c>
      <c r="AE2" s="23" t="s">
        <v>44</v>
      </c>
      <c r="AF2" s="1"/>
      <c r="AK2" s="17"/>
      <c r="AS2" s="17"/>
    </row>
    <row r="3" spans="1:46" x14ac:dyDescent="0.25">
      <c r="B3" s="1"/>
      <c r="C3" s="1"/>
      <c r="D3" s="1"/>
      <c r="E3" s="1"/>
      <c r="G3" s="8"/>
      <c r="H3" s="34" t="s">
        <v>21</v>
      </c>
      <c r="I3" s="32"/>
      <c r="J3" s="32"/>
      <c r="K3" s="32"/>
      <c r="L3" s="32"/>
      <c r="N3" s="33"/>
      <c r="O3" s="33"/>
      <c r="P3" s="33"/>
      <c r="Q3" s="32"/>
      <c r="R3" s="33"/>
      <c r="V3" s="13" t="s">
        <v>66</v>
      </c>
      <c r="AE3" s="13" t="s">
        <v>67</v>
      </c>
    </row>
    <row r="4" spans="1:46" x14ac:dyDescent="0.25">
      <c r="B4" s="2"/>
      <c r="C4" s="2"/>
      <c r="D4" s="2"/>
      <c r="E4" s="2"/>
      <c r="F4" s="2"/>
      <c r="G4" s="8" t="s">
        <v>8</v>
      </c>
      <c r="H4" s="32"/>
      <c r="I4" s="32"/>
      <c r="J4" s="32"/>
      <c r="K4" s="32"/>
      <c r="L4" s="32"/>
      <c r="M4" s="33"/>
      <c r="N4" s="33"/>
      <c r="O4" s="33"/>
      <c r="P4" s="33"/>
      <c r="Q4" s="32"/>
      <c r="R4" s="33"/>
      <c r="V4" s="10" t="s">
        <v>43</v>
      </c>
      <c r="AG4" s="10" t="s">
        <v>43</v>
      </c>
      <c r="AN4" s="10" t="s">
        <v>46</v>
      </c>
    </row>
    <row r="5" spans="1:46" x14ac:dyDescent="0.25">
      <c r="A5" s="5" t="s">
        <v>18</v>
      </c>
      <c r="B5" s="2"/>
      <c r="C5" s="2"/>
      <c r="D5" s="2"/>
      <c r="E5" s="2"/>
      <c r="F5" s="2"/>
      <c r="H5" s="44" t="s">
        <v>18</v>
      </c>
      <c r="I5" s="44" t="s">
        <v>36</v>
      </c>
      <c r="J5" s="44" t="s">
        <v>8</v>
      </c>
      <c r="K5" s="44" t="s">
        <v>9</v>
      </c>
      <c r="AA5" s="10" t="s">
        <v>42</v>
      </c>
      <c r="AE5" s="5"/>
      <c r="AK5" s="10" t="s">
        <v>42</v>
      </c>
      <c r="AP5" s="10" t="s">
        <v>42</v>
      </c>
      <c r="AQ5" s="10"/>
      <c r="AR5" s="10"/>
      <c r="AS5" s="9" t="s">
        <v>45</v>
      </c>
      <c r="AT5" s="9" t="s">
        <v>41</v>
      </c>
    </row>
    <row r="6" spans="1:46" x14ac:dyDescent="0.25">
      <c r="B6" s="2"/>
      <c r="C6" s="2"/>
      <c r="D6" s="2"/>
      <c r="E6" s="2"/>
      <c r="F6" s="2"/>
      <c r="G6" s="8" t="s">
        <v>9</v>
      </c>
      <c r="H6" s="45" t="s">
        <v>22</v>
      </c>
      <c r="I6" s="45" t="s">
        <v>37</v>
      </c>
      <c r="J6" s="45" t="s">
        <v>9</v>
      </c>
      <c r="K6" s="45" t="s">
        <v>10</v>
      </c>
      <c r="V6" s="9" t="s">
        <v>35</v>
      </c>
      <c r="W6" s="10" t="s">
        <v>41</v>
      </c>
      <c r="X6" s="9" t="s">
        <v>55</v>
      </c>
      <c r="Y6" s="9" t="s">
        <v>33</v>
      </c>
      <c r="Z6" s="9" t="s">
        <v>45</v>
      </c>
      <c r="AA6" s="9" t="s">
        <v>0</v>
      </c>
      <c r="AB6" s="9" t="s">
        <v>1</v>
      </c>
      <c r="AC6" s="9" t="s">
        <v>2</v>
      </c>
      <c r="AE6" s="9" t="s">
        <v>35</v>
      </c>
      <c r="AF6" s="10" t="s">
        <v>41</v>
      </c>
      <c r="AG6" s="15" t="s">
        <v>52</v>
      </c>
      <c r="AH6" s="9" t="s">
        <v>33</v>
      </c>
      <c r="AI6" s="30" t="s">
        <v>45</v>
      </c>
      <c r="AJ6" s="30"/>
      <c r="AK6" s="9" t="s">
        <v>0</v>
      </c>
      <c r="AL6" s="9" t="s">
        <v>1</v>
      </c>
      <c r="AM6" s="9" t="s">
        <v>2</v>
      </c>
      <c r="AN6" s="9" t="s">
        <v>47</v>
      </c>
      <c r="AO6" s="9" t="s">
        <v>33</v>
      </c>
      <c r="AP6" s="9" t="s">
        <v>0</v>
      </c>
      <c r="AQ6" s="9" t="s">
        <v>1</v>
      </c>
      <c r="AR6" s="9" t="s">
        <v>2</v>
      </c>
      <c r="AS6" s="17"/>
    </row>
    <row r="7" spans="1:46" x14ac:dyDescent="0.25">
      <c r="A7" s="5" t="s">
        <v>22</v>
      </c>
      <c r="B7" s="3"/>
      <c r="C7" s="3"/>
      <c r="D7" s="3"/>
      <c r="E7" s="3"/>
      <c r="F7" s="3"/>
      <c r="G7" s="8" t="s">
        <v>10</v>
      </c>
      <c r="H7" s="46" t="s">
        <v>17</v>
      </c>
      <c r="I7" s="46" t="s">
        <v>38</v>
      </c>
      <c r="J7" s="46" t="s">
        <v>10</v>
      </c>
      <c r="K7" s="46" t="s">
        <v>11</v>
      </c>
      <c r="V7" s="5" t="s">
        <v>36</v>
      </c>
      <c r="W7" t="s">
        <v>56</v>
      </c>
      <c r="X7" s="1">
        <v>3</v>
      </c>
      <c r="Y7" s="1">
        <v>6</v>
      </c>
      <c r="Z7" s="16">
        <v>105</v>
      </c>
      <c r="AA7" s="1">
        <f>O13</f>
        <v>5</v>
      </c>
      <c r="AB7" s="1">
        <f>P13</f>
        <v>5</v>
      </c>
      <c r="AC7" s="1">
        <f>Q13</f>
        <v>4.25</v>
      </c>
      <c r="AE7" s="26" t="s">
        <v>23</v>
      </c>
      <c r="AF7" s="26" t="s">
        <v>25</v>
      </c>
      <c r="AG7" s="1">
        <v>3</v>
      </c>
      <c r="AH7" s="26">
        <v>7</v>
      </c>
      <c r="AI7" s="29">
        <v>201</v>
      </c>
      <c r="AJ7" s="29">
        <v>202</v>
      </c>
      <c r="AK7" s="1">
        <v>1</v>
      </c>
      <c r="AL7" s="1">
        <v>1</v>
      </c>
      <c r="AM7" s="1">
        <v>4.25</v>
      </c>
      <c r="AN7" s="1">
        <v>2</v>
      </c>
      <c r="AO7" s="1">
        <v>7</v>
      </c>
      <c r="AP7" s="1">
        <v>1</v>
      </c>
      <c r="AQ7" s="1">
        <v>1</v>
      </c>
      <c r="AR7" s="1">
        <v>4.25</v>
      </c>
      <c r="AS7" s="17"/>
    </row>
    <row r="8" spans="1:46" x14ac:dyDescent="0.25">
      <c r="A8" s="25" t="s">
        <v>17</v>
      </c>
      <c r="B8" s="4"/>
      <c r="C8" s="4"/>
      <c r="D8" s="4"/>
      <c r="E8" s="4"/>
      <c r="F8" s="4"/>
      <c r="H8" s="45" t="s">
        <v>16</v>
      </c>
      <c r="I8" s="45" t="s">
        <v>39</v>
      </c>
      <c r="J8" s="45" t="s">
        <v>11</v>
      </c>
      <c r="K8" s="45" t="s">
        <v>12</v>
      </c>
      <c r="V8" s="5" t="s">
        <v>37</v>
      </c>
      <c r="W8" t="s">
        <v>57</v>
      </c>
      <c r="X8" s="1">
        <v>3</v>
      </c>
      <c r="Y8" s="1">
        <v>9</v>
      </c>
      <c r="Z8" s="16">
        <v>104</v>
      </c>
      <c r="AA8" s="1">
        <f>O14</f>
        <v>5</v>
      </c>
      <c r="AB8" s="1">
        <f>P14</f>
        <v>5</v>
      </c>
      <c r="AC8" s="1">
        <f>Q14</f>
        <v>3.25</v>
      </c>
      <c r="AE8" s="26"/>
      <c r="AF8" s="26"/>
      <c r="AG8" s="1">
        <v>3</v>
      </c>
      <c r="AH8" s="26"/>
      <c r="AI8" s="29"/>
      <c r="AJ8" s="29"/>
      <c r="AK8" s="1">
        <v>1</v>
      </c>
      <c r="AL8" s="1">
        <v>1</v>
      </c>
      <c r="AM8" s="1">
        <v>4.25</v>
      </c>
      <c r="AN8" s="1">
        <v>2</v>
      </c>
      <c r="AO8" s="1">
        <v>9</v>
      </c>
      <c r="AP8" s="1">
        <v>1</v>
      </c>
      <c r="AQ8" s="1">
        <v>1</v>
      </c>
      <c r="AR8" s="1">
        <v>5</v>
      </c>
      <c r="AS8" s="16">
        <v>401</v>
      </c>
      <c r="AT8" t="s">
        <v>48</v>
      </c>
    </row>
    <row r="9" spans="1:46" x14ac:dyDescent="0.25">
      <c r="A9" s="25"/>
      <c r="B9" s="4"/>
      <c r="C9" s="4"/>
      <c r="D9" s="4"/>
      <c r="E9" s="4"/>
      <c r="F9" s="4"/>
      <c r="H9" s="44" t="s">
        <v>15</v>
      </c>
      <c r="I9" s="44" t="s">
        <v>27</v>
      </c>
      <c r="J9" s="44" t="s">
        <v>12</v>
      </c>
      <c r="K9" s="44" t="s">
        <v>7</v>
      </c>
      <c r="V9" s="5" t="s">
        <v>38</v>
      </c>
      <c r="W9" t="s">
        <v>58</v>
      </c>
      <c r="X9" s="1">
        <v>3</v>
      </c>
      <c r="Y9" s="1">
        <v>12</v>
      </c>
      <c r="Z9" s="16">
        <v>103</v>
      </c>
      <c r="AA9" s="1">
        <f>O15</f>
        <v>5</v>
      </c>
      <c r="AB9" s="1">
        <f>P15</f>
        <v>5</v>
      </c>
      <c r="AC9" s="1">
        <f>Q15</f>
        <v>2.5</v>
      </c>
      <c r="AE9" s="26"/>
      <c r="AF9" s="26"/>
      <c r="AG9" s="1">
        <v>3</v>
      </c>
      <c r="AH9" s="26"/>
      <c r="AI9" s="29"/>
      <c r="AJ9" s="29"/>
      <c r="AK9" s="1">
        <v>1</v>
      </c>
      <c r="AL9" s="1">
        <v>1</v>
      </c>
      <c r="AM9" s="1">
        <v>4.25</v>
      </c>
      <c r="AN9" s="1">
        <v>2</v>
      </c>
      <c r="AO9" s="1">
        <v>10</v>
      </c>
      <c r="AP9" s="1">
        <v>1</v>
      </c>
      <c r="AQ9" s="1">
        <v>1</v>
      </c>
      <c r="AR9" s="1">
        <v>3.5</v>
      </c>
      <c r="AS9" s="17"/>
    </row>
    <row r="10" spans="1:46" x14ac:dyDescent="0.25">
      <c r="A10" s="5" t="s">
        <v>16</v>
      </c>
      <c r="B10" s="3"/>
      <c r="C10" s="3"/>
      <c r="D10" s="3"/>
      <c r="E10" s="3"/>
      <c r="F10" s="3"/>
      <c r="G10" s="8" t="s">
        <v>11</v>
      </c>
      <c r="V10" s="5" t="s">
        <v>39</v>
      </c>
      <c r="W10" t="s">
        <v>59</v>
      </c>
      <c r="X10" s="1">
        <v>3</v>
      </c>
      <c r="Y10" s="1">
        <v>4</v>
      </c>
      <c r="Z10" s="16">
        <v>102</v>
      </c>
      <c r="AA10" s="1">
        <f>O16</f>
        <v>5</v>
      </c>
      <c r="AB10" s="1">
        <f>P16</f>
        <v>5</v>
      </c>
      <c r="AC10" s="1">
        <f>Q16</f>
        <v>1.75</v>
      </c>
      <c r="AE10" s="26"/>
      <c r="AF10" s="26" t="s">
        <v>26</v>
      </c>
      <c r="AG10" s="1">
        <v>3</v>
      </c>
      <c r="AH10" s="26">
        <v>10</v>
      </c>
      <c r="AI10" s="29"/>
      <c r="AJ10" s="29">
        <v>203</v>
      </c>
      <c r="AK10" s="1">
        <v>1</v>
      </c>
      <c r="AL10" s="1">
        <v>1</v>
      </c>
      <c r="AM10" s="1">
        <v>3.25</v>
      </c>
      <c r="AN10" s="1">
        <v>2</v>
      </c>
      <c r="AO10" s="1">
        <v>10</v>
      </c>
      <c r="AP10" s="1">
        <v>1</v>
      </c>
      <c r="AQ10" s="1">
        <v>1</v>
      </c>
      <c r="AR10" s="1">
        <v>3.5</v>
      </c>
      <c r="AS10" s="17"/>
    </row>
    <row r="11" spans="1:46" x14ac:dyDescent="0.25">
      <c r="A11" s="5"/>
      <c r="B11" s="2"/>
      <c r="C11" s="2"/>
      <c r="D11" s="2"/>
      <c r="E11" s="2"/>
      <c r="F11" s="2"/>
      <c r="G11" s="8" t="s">
        <v>12</v>
      </c>
      <c r="H11" s="36"/>
      <c r="I11" s="37" t="s">
        <v>5</v>
      </c>
      <c r="J11" s="37"/>
      <c r="K11" s="37"/>
      <c r="L11" s="37" t="s">
        <v>6</v>
      </c>
      <c r="M11" s="37"/>
      <c r="N11" s="37"/>
      <c r="O11" s="35" t="s">
        <v>20</v>
      </c>
      <c r="P11" s="35"/>
      <c r="Q11" s="35"/>
      <c r="V11" s="5" t="s">
        <v>27</v>
      </c>
      <c r="W11" t="s">
        <v>60</v>
      </c>
      <c r="X11" s="1">
        <v>3</v>
      </c>
      <c r="Y11" s="1">
        <v>5</v>
      </c>
      <c r="Z11" s="16">
        <v>101</v>
      </c>
      <c r="AA11" s="1">
        <f>O17</f>
        <v>5</v>
      </c>
      <c r="AB11" s="1">
        <f>P17</f>
        <v>5</v>
      </c>
      <c r="AC11" s="1">
        <f>Q17</f>
        <v>0.75</v>
      </c>
      <c r="AE11" s="26"/>
      <c r="AF11" s="26"/>
      <c r="AG11" s="1">
        <v>3</v>
      </c>
      <c r="AH11" s="26"/>
      <c r="AI11" s="29"/>
      <c r="AJ11" s="29"/>
      <c r="AK11" s="1">
        <v>1</v>
      </c>
      <c r="AL11" s="1">
        <v>1</v>
      </c>
      <c r="AM11" s="1">
        <v>3.25</v>
      </c>
      <c r="AN11" s="1">
        <v>2</v>
      </c>
      <c r="AO11" s="1">
        <v>18</v>
      </c>
      <c r="AP11" s="1">
        <v>1</v>
      </c>
      <c r="AQ11" s="1">
        <v>1</v>
      </c>
      <c r="AR11" s="1">
        <v>3.25</v>
      </c>
      <c r="AS11" s="17"/>
    </row>
    <row r="12" spans="1:46" x14ac:dyDescent="0.25">
      <c r="A12" s="5" t="s">
        <v>15</v>
      </c>
      <c r="B12" s="2"/>
      <c r="C12" s="2"/>
      <c r="D12" s="2"/>
      <c r="E12" s="2"/>
      <c r="F12" s="2"/>
      <c r="G12" s="8"/>
      <c r="H12" s="31"/>
      <c r="I12" s="36" t="s">
        <v>0</v>
      </c>
      <c r="J12" s="36" t="s">
        <v>1</v>
      </c>
      <c r="K12" s="38" t="s">
        <v>2</v>
      </c>
      <c r="L12" s="39" t="s">
        <v>3</v>
      </c>
      <c r="M12" s="40" t="s">
        <v>19</v>
      </c>
      <c r="N12" s="38" t="s">
        <v>4</v>
      </c>
      <c r="O12" s="39" t="s">
        <v>3</v>
      </c>
      <c r="P12" s="40" t="s">
        <v>19</v>
      </c>
      <c r="Q12" s="38" t="s">
        <v>4</v>
      </c>
      <c r="AE12" s="26"/>
      <c r="AF12" s="26"/>
      <c r="AG12" s="1">
        <v>3</v>
      </c>
      <c r="AH12" s="26"/>
      <c r="AI12" s="29"/>
      <c r="AJ12" s="29"/>
      <c r="AK12" s="1">
        <v>1</v>
      </c>
      <c r="AL12" s="1">
        <v>1</v>
      </c>
      <c r="AM12" s="1">
        <v>3.25</v>
      </c>
      <c r="AN12" s="1">
        <v>2</v>
      </c>
      <c r="AO12" s="1">
        <v>20</v>
      </c>
      <c r="AP12" s="1">
        <v>1</v>
      </c>
      <c r="AQ12" s="1">
        <v>1</v>
      </c>
      <c r="AR12" s="1">
        <v>3</v>
      </c>
      <c r="AS12" s="16"/>
    </row>
    <row r="13" spans="1:46" x14ac:dyDescent="0.25">
      <c r="A13" s="5"/>
      <c r="B13" s="2"/>
      <c r="C13" s="2"/>
      <c r="D13" s="2"/>
      <c r="E13" s="2"/>
      <c r="F13" s="2"/>
      <c r="G13" s="8" t="s">
        <v>7</v>
      </c>
      <c r="H13" s="48" t="s">
        <v>8</v>
      </c>
      <c r="I13" s="33">
        <v>0</v>
      </c>
      <c r="J13" s="33">
        <v>0</v>
      </c>
      <c r="K13" s="41">
        <v>5</v>
      </c>
      <c r="L13" s="42">
        <f t="shared" ref="L13:L18" si="0">$C$2</f>
        <v>10</v>
      </c>
      <c r="M13" s="43">
        <f t="shared" ref="M13:M18" si="1">$F$2</f>
        <v>10</v>
      </c>
      <c r="N13" s="41">
        <f>K13-K14</f>
        <v>1.5</v>
      </c>
      <c r="O13" s="39">
        <f>L13/2</f>
        <v>5</v>
      </c>
      <c r="P13" s="40">
        <f>M13/2</f>
        <v>5</v>
      </c>
      <c r="Q13" s="38">
        <f>(N13/2)+K14</f>
        <v>4.25</v>
      </c>
      <c r="AA13" s="17"/>
      <c r="AE13" s="26"/>
      <c r="AF13" s="26" t="s">
        <v>27</v>
      </c>
      <c r="AG13" s="1">
        <v>3</v>
      </c>
      <c r="AH13" s="26">
        <v>13</v>
      </c>
      <c r="AI13" s="29"/>
      <c r="AJ13" s="29">
        <v>204</v>
      </c>
      <c r="AK13" s="1">
        <v>1</v>
      </c>
      <c r="AL13" s="1">
        <v>1</v>
      </c>
      <c r="AM13" s="1">
        <v>2.75</v>
      </c>
      <c r="AN13" s="1">
        <v>2</v>
      </c>
      <c r="AO13" s="1">
        <v>20</v>
      </c>
      <c r="AP13" s="1">
        <v>1</v>
      </c>
      <c r="AQ13" s="1">
        <v>1</v>
      </c>
      <c r="AR13" s="1">
        <v>3</v>
      </c>
      <c r="AS13" s="16"/>
    </row>
    <row r="14" spans="1:46" x14ac:dyDescent="0.25">
      <c r="H14" s="48" t="s">
        <v>9</v>
      </c>
      <c r="I14" s="33">
        <v>0</v>
      </c>
      <c r="J14" s="33">
        <v>0</v>
      </c>
      <c r="K14" s="41">
        <v>3.5</v>
      </c>
      <c r="L14" s="42">
        <f t="shared" si="0"/>
        <v>10</v>
      </c>
      <c r="M14" s="43">
        <f t="shared" si="1"/>
        <v>10</v>
      </c>
      <c r="N14" s="41">
        <f>K14-K15</f>
        <v>0.5</v>
      </c>
      <c r="O14" s="39">
        <f t="shared" ref="O14:O18" si="2">L14/2</f>
        <v>5</v>
      </c>
      <c r="P14" s="40">
        <f t="shared" ref="P14:P18" si="3">M14/2</f>
        <v>5</v>
      </c>
      <c r="Q14" s="38">
        <f t="shared" ref="Q14:Q16" si="4">(N14/2)+K15</f>
        <v>3.25</v>
      </c>
      <c r="V14" s="13" t="s">
        <v>53</v>
      </c>
      <c r="AA14" s="17"/>
      <c r="AE14" s="26"/>
      <c r="AF14" s="26"/>
      <c r="AG14" s="1">
        <v>3</v>
      </c>
      <c r="AH14" s="26"/>
      <c r="AI14" s="29"/>
      <c r="AJ14" s="29"/>
      <c r="AK14" s="1">
        <v>1</v>
      </c>
      <c r="AL14" s="1">
        <v>1</v>
      </c>
      <c r="AM14" s="1">
        <v>2.75</v>
      </c>
      <c r="AN14" s="1">
        <v>2</v>
      </c>
      <c r="AO14" s="1">
        <v>27</v>
      </c>
      <c r="AP14" s="1">
        <v>1</v>
      </c>
      <c r="AQ14" s="1">
        <v>1</v>
      </c>
      <c r="AR14" s="1">
        <v>2.75</v>
      </c>
      <c r="AS14" s="16">
        <v>402</v>
      </c>
      <c r="AT14" t="s">
        <v>49</v>
      </c>
    </row>
    <row r="15" spans="1:46" x14ac:dyDescent="0.25">
      <c r="B15" s="10" t="s">
        <v>32</v>
      </c>
      <c r="H15" s="48" t="s">
        <v>10</v>
      </c>
      <c r="I15" s="33">
        <v>0</v>
      </c>
      <c r="J15" s="33">
        <v>0</v>
      </c>
      <c r="K15" s="41">
        <v>3</v>
      </c>
      <c r="L15" s="42">
        <f t="shared" si="0"/>
        <v>10</v>
      </c>
      <c r="M15" s="43">
        <f t="shared" si="1"/>
        <v>10</v>
      </c>
      <c r="N15" s="41">
        <f>K15-K16</f>
        <v>1</v>
      </c>
      <c r="O15" s="39">
        <f t="shared" si="2"/>
        <v>5</v>
      </c>
      <c r="P15" s="40">
        <f t="shared" si="3"/>
        <v>5</v>
      </c>
      <c r="Q15" s="38">
        <f t="shared" si="4"/>
        <v>2.5</v>
      </c>
      <c r="V15" s="10" t="s">
        <v>46</v>
      </c>
      <c r="AE15" s="26"/>
      <c r="AF15" s="26"/>
      <c r="AG15" s="1">
        <v>3</v>
      </c>
      <c r="AH15" s="26"/>
      <c r="AI15" s="29"/>
      <c r="AJ15" s="29"/>
      <c r="AK15" s="1">
        <v>1</v>
      </c>
      <c r="AL15" s="1">
        <v>1</v>
      </c>
      <c r="AM15" s="1">
        <v>2.75</v>
      </c>
      <c r="AN15" s="1">
        <v>2</v>
      </c>
      <c r="AO15" s="1">
        <v>29</v>
      </c>
      <c r="AP15" s="1">
        <v>1</v>
      </c>
      <c r="AQ15" s="1">
        <v>1</v>
      </c>
      <c r="AR15" s="1">
        <v>2.5</v>
      </c>
      <c r="AS15" s="16"/>
    </row>
    <row r="16" spans="1:46" x14ac:dyDescent="0.25">
      <c r="A16" s="1"/>
      <c r="B16" s="2"/>
      <c r="C16" s="2"/>
      <c r="D16" s="2"/>
      <c r="E16" s="2"/>
      <c r="F16" s="2"/>
      <c r="H16" s="48" t="s">
        <v>11</v>
      </c>
      <c r="I16" s="33">
        <v>0</v>
      </c>
      <c r="J16" s="33">
        <v>0</v>
      </c>
      <c r="K16" s="41">
        <v>2</v>
      </c>
      <c r="L16" s="42">
        <f t="shared" si="0"/>
        <v>10</v>
      </c>
      <c r="M16" s="43">
        <f t="shared" si="1"/>
        <v>10</v>
      </c>
      <c r="N16" s="41">
        <f>K16-K17</f>
        <v>0.5</v>
      </c>
      <c r="O16" s="39">
        <f t="shared" si="2"/>
        <v>5</v>
      </c>
      <c r="P16" s="40">
        <f t="shared" si="3"/>
        <v>5</v>
      </c>
      <c r="Q16" s="38">
        <f t="shared" si="4"/>
        <v>1.75</v>
      </c>
      <c r="Z16" s="17"/>
      <c r="AA16" s="10" t="s">
        <v>42</v>
      </c>
      <c r="AB16" s="10"/>
      <c r="AC16" s="10"/>
      <c r="AE16" s="26" t="s">
        <v>24</v>
      </c>
      <c r="AF16" s="26" t="s">
        <v>25</v>
      </c>
      <c r="AG16" s="1">
        <v>3</v>
      </c>
      <c r="AH16" s="26">
        <v>8</v>
      </c>
      <c r="AI16" s="29">
        <v>205</v>
      </c>
      <c r="AJ16" s="29">
        <v>206</v>
      </c>
      <c r="AK16" s="1">
        <v>9</v>
      </c>
      <c r="AL16" s="1">
        <v>9</v>
      </c>
      <c r="AM16" s="1">
        <v>4.25</v>
      </c>
      <c r="AN16" s="1">
        <v>2</v>
      </c>
      <c r="AO16" s="1">
        <v>8</v>
      </c>
      <c r="AP16" s="1">
        <v>9</v>
      </c>
      <c r="AQ16" s="1">
        <v>9</v>
      </c>
      <c r="AR16" s="1">
        <v>4.25</v>
      </c>
      <c r="AS16" s="16"/>
    </row>
    <row r="17" spans="2:46" x14ac:dyDescent="0.25">
      <c r="B17" s="2"/>
      <c r="C17" s="2"/>
      <c r="D17" s="2"/>
      <c r="E17" s="2"/>
      <c r="F17" s="2"/>
      <c r="H17" s="48" t="s">
        <v>12</v>
      </c>
      <c r="I17" s="33">
        <v>0</v>
      </c>
      <c r="J17" s="33">
        <v>0</v>
      </c>
      <c r="K17" s="41">
        <v>1.5</v>
      </c>
      <c r="L17" s="42">
        <f t="shared" si="0"/>
        <v>10</v>
      </c>
      <c r="M17" s="43">
        <f t="shared" si="1"/>
        <v>10</v>
      </c>
      <c r="N17" s="41">
        <f>K17-K18</f>
        <v>1.5</v>
      </c>
      <c r="O17" s="39">
        <f t="shared" si="2"/>
        <v>5</v>
      </c>
      <c r="P17" s="40">
        <f t="shared" si="3"/>
        <v>5</v>
      </c>
      <c r="Q17" s="38">
        <f>(N17/2)+K18</f>
        <v>0.75</v>
      </c>
      <c r="V17" s="9" t="s">
        <v>35</v>
      </c>
      <c r="W17" s="9" t="s">
        <v>41</v>
      </c>
      <c r="X17" s="9" t="s">
        <v>47</v>
      </c>
      <c r="Y17" s="9" t="s">
        <v>33</v>
      </c>
      <c r="Z17" s="9" t="s">
        <v>45</v>
      </c>
      <c r="AA17" s="9" t="s">
        <v>0</v>
      </c>
      <c r="AB17" s="9" t="s">
        <v>1</v>
      </c>
      <c r="AC17" s="9" t="s">
        <v>2</v>
      </c>
      <c r="AE17" s="26"/>
      <c r="AF17" s="26"/>
      <c r="AG17" s="1">
        <v>3</v>
      </c>
      <c r="AH17" s="26"/>
      <c r="AI17" s="29"/>
      <c r="AJ17" s="29"/>
      <c r="AK17" s="1">
        <v>9</v>
      </c>
      <c r="AL17" s="1">
        <v>9</v>
      </c>
      <c r="AM17" s="1">
        <v>4.25</v>
      </c>
      <c r="AN17" s="1">
        <v>2</v>
      </c>
      <c r="AO17" s="1">
        <v>11</v>
      </c>
      <c r="AP17" s="1">
        <v>9</v>
      </c>
      <c r="AQ17" s="1">
        <v>9</v>
      </c>
      <c r="AR17" s="1">
        <v>5</v>
      </c>
      <c r="AS17" s="16">
        <v>403</v>
      </c>
      <c r="AT17" t="s">
        <v>50</v>
      </c>
    </row>
    <row r="18" spans="2:46" x14ac:dyDescent="0.25">
      <c r="B18" s="2"/>
      <c r="C18" s="2"/>
      <c r="D18" s="2"/>
      <c r="E18" s="2"/>
      <c r="F18" s="2"/>
      <c r="H18" s="48" t="s">
        <v>7</v>
      </c>
      <c r="I18" s="33">
        <v>0</v>
      </c>
      <c r="J18" s="33">
        <v>0</v>
      </c>
      <c r="K18" s="41">
        <v>0</v>
      </c>
      <c r="L18" s="42">
        <f t="shared" si="0"/>
        <v>10</v>
      </c>
      <c r="M18" s="43">
        <f t="shared" si="1"/>
        <v>10</v>
      </c>
      <c r="N18" s="41">
        <f>K18</f>
        <v>0</v>
      </c>
      <c r="O18" s="39">
        <f t="shared" si="2"/>
        <v>5</v>
      </c>
      <c r="P18" s="40">
        <f t="shared" si="3"/>
        <v>5</v>
      </c>
      <c r="Q18" s="38">
        <f t="shared" ref="Q18" si="5">N18/2</f>
        <v>0</v>
      </c>
      <c r="V18" s="27" t="s">
        <v>61</v>
      </c>
      <c r="W18" s="28" t="s">
        <v>54</v>
      </c>
      <c r="X18" s="1">
        <v>2</v>
      </c>
      <c r="Y18" s="1">
        <v>1</v>
      </c>
      <c r="Z18" s="29">
        <v>301</v>
      </c>
      <c r="AA18" s="1">
        <v>0</v>
      </c>
      <c r="AB18" s="1">
        <v>5</v>
      </c>
      <c r="AC18" s="1">
        <v>4.25</v>
      </c>
      <c r="AE18" s="26"/>
      <c r="AF18" s="26"/>
      <c r="AG18" s="1">
        <v>3</v>
      </c>
      <c r="AH18" s="26"/>
      <c r="AI18" s="29"/>
      <c r="AJ18" s="29"/>
      <c r="AK18" s="1">
        <v>9</v>
      </c>
      <c r="AL18" s="1">
        <v>9</v>
      </c>
      <c r="AM18" s="1">
        <v>4.25</v>
      </c>
      <c r="AN18" s="1">
        <v>2</v>
      </c>
      <c r="AO18" s="1">
        <v>12</v>
      </c>
      <c r="AP18" s="1">
        <v>9</v>
      </c>
      <c r="AQ18" s="1">
        <v>9</v>
      </c>
      <c r="AR18" s="1">
        <v>3.5</v>
      </c>
      <c r="AS18" s="18"/>
    </row>
    <row r="19" spans="2:46" x14ac:dyDescent="0.25">
      <c r="B19" s="2" t="s">
        <v>28</v>
      </c>
      <c r="C19" s="2" t="s">
        <v>30</v>
      </c>
      <c r="D19" s="2"/>
      <c r="E19" s="2"/>
      <c r="F19" s="2"/>
      <c r="H19" s="32"/>
      <c r="I19" s="32"/>
      <c r="J19" s="32"/>
      <c r="K19" s="32"/>
      <c r="L19" s="32"/>
      <c r="M19" s="32"/>
      <c r="N19" s="32"/>
      <c r="O19" s="33"/>
      <c r="P19" s="32"/>
      <c r="Q19" s="32"/>
      <c r="V19" s="27"/>
      <c r="W19" s="28"/>
      <c r="X19" s="14">
        <v>2</v>
      </c>
      <c r="Y19" s="1">
        <v>13</v>
      </c>
      <c r="Z19" s="29"/>
      <c r="AA19" s="1">
        <v>0</v>
      </c>
      <c r="AB19" s="1">
        <v>5</v>
      </c>
      <c r="AC19" s="1">
        <v>3.25</v>
      </c>
      <c r="AE19" s="26"/>
      <c r="AF19" s="26" t="s">
        <v>26</v>
      </c>
      <c r="AG19" s="1">
        <v>3</v>
      </c>
      <c r="AH19" s="26">
        <v>11</v>
      </c>
      <c r="AI19" s="29"/>
      <c r="AJ19" s="29">
        <v>207</v>
      </c>
      <c r="AK19" s="1">
        <v>9</v>
      </c>
      <c r="AL19" s="1">
        <v>9</v>
      </c>
      <c r="AM19" s="1">
        <v>3.25</v>
      </c>
      <c r="AN19" s="1">
        <v>2</v>
      </c>
      <c r="AO19" s="1">
        <v>12</v>
      </c>
      <c r="AP19" s="1">
        <v>9</v>
      </c>
      <c r="AQ19" s="1">
        <v>9</v>
      </c>
      <c r="AR19" s="1">
        <v>3.5</v>
      </c>
      <c r="AS19" s="18"/>
    </row>
    <row r="20" spans="2:46" x14ac:dyDescent="0.25">
      <c r="B20" s="2"/>
      <c r="C20" s="2"/>
      <c r="D20" s="2"/>
      <c r="E20" s="2"/>
      <c r="F20" s="2"/>
      <c r="H20" s="32"/>
      <c r="I20" s="37" t="s">
        <v>5</v>
      </c>
      <c r="J20" s="37"/>
      <c r="K20" s="37"/>
      <c r="L20" s="37" t="s">
        <v>6</v>
      </c>
      <c r="M20" s="37"/>
      <c r="N20" s="37"/>
      <c r="O20" s="35" t="s">
        <v>20</v>
      </c>
      <c r="P20" s="35"/>
      <c r="Q20" s="35"/>
      <c r="R20" s="33"/>
      <c r="V20" s="27"/>
      <c r="W20" s="28"/>
      <c r="X20" s="14">
        <v>2</v>
      </c>
      <c r="Y20" s="1">
        <v>22</v>
      </c>
      <c r="Z20" s="29"/>
      <c r="AA20" s="1">
        <v>0</v>
      </c>
      <c r="AB20" s="1">
        <v>5</v>
      </c>
      <c r="AC20" s="1">
        <v>2.5</v>
      </c>
      <c r="AE20" s="26"/>
      <c r="AF20" s="26"/>
      <c r="AG20" s="1">
        <v>3</v>
      </c>
      <c r="AH20" s="26"/>
      <c r="AI20" s="29"/>
      <c r="AJ20" s="29"/>
      <c r="AK20" s="1">
        <v>9</v>
      </c>
      <c r="AL20" s="1">
        <v>9</v>
      </c>
      <c r="AM20" s="1">
        <v>3.25</v>
      </c>
      <c r="AN20" s="1">
        <v>2</v>
      </c>
      <c r="AO20" s="1">
        <v>19</v>
      </c>
      <c r="AP20" s="1">
        <v>9</v>
      </c>
      <c r="AQ20" s="1">
        <v>9</v>
      </c>
      <c r="AR20" s="1">
        <v>3.25</v>
      </c>
      <c r="AS20" s="17"/>
    </row>
    <row r="21" spans="2:46" x14ac:dyDescent="0.25">
      <c r="B21" s="2"/>
      <c r="C21" s="2"/>
      <c r="D21" s="2"/>
      <c r="E21" s="2"/>
      <c r="F21" s="2"/>
      <c r="I21" s="36" t="s">
        <v>0</v>
      </c>
      <c r="J21" s="36" t="s">
        <v>1</v>
      </c>
      <c r="K21" s="38" t="s">
        <v>2</v>
      </c>
      <c r="L21" s="39" t="s">
        <v>3</v>
      </c>
      <c r="M21" s="40" t="s">
        <v>19</v>
      </c>
      <c r="N21" s="38" t="s">
        <v>4</v>
      </c>
      <c r="O21" s="39" t="s">
        <v>3</v>
      </c>
      <c r="P21" s="40" t="s">
        <v>19</v>
      </c>
      <c r="Q21" s="38" t="s">
        <v>4</v>
      </c>
      <c r="R21" s="33"/>
      <c r="V21" s="27"/>
      <c r="W21" s="28"/>
      <c r="X21" s="1">
        <v>2</v>
      </c>
      <c r="Y21" s="1">
        <v>31</v>
      </c>
      <c r="Z21" s="29"/>
      <c r="AA21" s="1">
        <v>0</v>
      </c>
      <c r="AB21" s="1">
        <v>5</v>
      </c>
      <c r="AC21" s="1">
        <v>1.75</v>
      </c>
      <c r="AE21" s="26"/>
      <c r="AF21" s="26"/>
      <c r="AG21" s="1">
        <v>3</v>
      </c>
      <c r="AH21" s="26"/>
      <c r="AI21" s="29"/>
      <c r="AJ21" s="29"/>
      <c r="AK21" s="1">
        <v>9</v>
      </c>
      <c r="AL21" s="1">
        <v>9</v>
      </c>
      <c r="AM21" s="1">
        <v>3.25</v>
      </c>
      <c r="AN21" s="1">
        <v>2</v>
      </c>
      <c r="AO21" s="1">
        <v>21</v>
      </c>
      <c r="AP21" s="1">
        <v>9</v>
      </c>
      <c r="AQ21" s="1">
        <v>9</v>
      </c>
      <c r="AR21" s="1">
        <v>3</v>
      </c>
      <c r="AS21" s="17"/>
    </row>
    <row r="22" spans="2:46" x14ac:dyDescent="0.25">
      <c r="B22" s="2"/>
      <c r="C22" s="2"/>
      <c r="D22" s="2"/>
      <c r="E22" s="2"/>
      <c r="F22" s="2"/>
      <c r="H22" s="48" t="s">
        <v>23</v>
      </c>
      <c r="I22" s="33">
        <v>1</v>
      </c>
      <c r="J22" s="33">
        <v>1</v>
      </c>
      <c r="K22" s="41">
        <v>2.5</v>
      </c>
      <c r="L22" s="42">
        <v>0</v>
      </c>
      <c r="M22" s="43">
        <v>0</v>
      </c>
      <c r="N22" s="41">
        <v>2.5</v>
      </c>
      <c r="O22" s="39">
        <v>1</v>
      </c>
      <c r="P22" s="40">
        <v>1</v>
      </c>
      <c r="Q22" s="38">
        <f>$K$13-(K22/2)</f>
        <v>3.75</v>
      </c>
      <c r="V22" s="27"/>
      <c r="W22" s="28"/>
      <c r="X22" s="14">
        <v>2</v>
      </c>
      <c r="Y22" s="1">
        <v>36</v>
      </c>
      <c r="Z22" s="29"/>
      <c r="AA22" s="1">
        <v>0</v>
      </c>
      <c r="AB22" s="1">
        <v>5</v>
      </c>
      <c r="AC22" s="1">
        <v>0.75</v>
      </c>
      <c r="AE22" s="26"/>
      <c r="AF22" s="26" t="s">
        <v>27</v>
      </c>
      <c r="AG22" s="1">
        <v>3</v>
      </c>
      <c r="AH22" s="26">
        <v>14</v>
      </c>
      <c r="AI22" s="29"/>
      <c r="AJ22" s="29">
        <v>208</v>
      </c>
      <c r="AK22" s="1">
        <v>9</v>
      </c>
      <c r="AL22" s="1">
        <v>9</v>
      </c>
      <c r="AM22" s="1">
        <v>2.75</v>
      </c>
      <c r="AN22" s="1">
        <v>2</v>
      </c>
      <c r="AO22" s="1">
        <v>21</v>
      </c>
      <c r="AP22" s="1">
        <v>9</v>
      </c>
      <c r="AQ22" s="1">
        <v>9</v>
      </c>
      <c r="AR22" s="1">
        <v>3</v>
      </c>
      <c r="AS22" s="17"/>
    </row>
    <row r="23" spans="2:46" x14ac:dyDescent="0.25">
      <c r="B23" s="2"/>
      <c r="C23" s="2"/>
      <c r="D23" s="2"/>
      <c r="E23" s="2"/>
      <c r="F23" s="2"/>
      <c r="H23" s="48" t="s">
        <v>24</v>
      </c>
      <c r="I23" s="33">
        <v>9</v>
      </c>
      <c r="J23" s="33">
        <v>9</v>
      </c>
      <c r="K23" s="41">
        <v>2.5</v>
      </c>
      <c r="L23" s="42">
        <v>0</v>
      </c>
      <c r="M23" s="43">
        <v>0</v>
      </c>
      <c r="N23" s="41">
        <f>K23-K24</f>
        <v>2.5</v>
      </c>
      <c r="O23" s="39">
        <v>9</v>
      </c>
      <c r="P23" s="40">
        <v>9</v>
      </c>
      <c r="Q23" s="38">
        <f>$K$13-(K23/2)</f>
        <v>3.75</v>
      </c>
      <c r="V23" s="27" t="s">
        <v>62</v>
      </c>
      <c r="W23" s="28" t="s">
        <v>63</v>
      </c>
      <c r="X23" s="1">
        <v>2</v>
      </c>
      <c r="Y23" s="1">
        <v>6</v>
      </c>
      <c r="Z23" s="29">
        <v>302</v>
      </c>
      <c r="AA23" s="20">
        <v>10</v>
      </c>
      <c r="AB23" s="1">
        <v>5</v>
      </c>
      <c r="AC23" s="1">
        <v>4.25</v>
      </c>
      <c r="AE23" s="26"/>
      <c r="AF23" s="26"/>
      <c r="AG23" s="1">
        <v>3</v>
      </c>
      <c r="AH23" s="26"/>
      <c r="AI23" s="29"/>
      <c r="AJ23" s="29"/>
      <c r="AK23" s="1">
        <v>9</v>
      </c>
      <c r="AL23" s="1">
        <v>9</v>
      </c>
      <c r="AM23" s="1">
        <v>2.75</v>
      </c>
      <c r="AN23" s="1">
        <v>2</v>
      </c>
      <c r="AO23" s="1">
        <v>28</v>
      </c>
      <c r="AP23" s="1">
        <v>9</v>
      </c>
      <c r="AQ23" s="1">
        <v>9</v>
      </c>
      <c r="AR23" s="1">
        <v>2.75</v>
      </c>
      <c r="AS23" s="16">
        <v>404</v>
      </c>
      <c r="AT23" t="s">
        <v>51</v>
      </c>
    </row>
    <row r="24" spans="2:46" x14ac:dyDescent="0.25">
      <c r="B24" s="2"/>
      <c r="C24" s="2"/>
      <c r="D24" s="2"/>
      <c r="E24" s="2"/>
      <c r="F24" s="2"/>
      <c r="H24" s="32"/>
      <c r="I24" s="33"/>
      <c r="J24" s="33"/>
      <c r="K24" s="33"/>
      <c r="L24" s="33"/>
      <c r="M24" s="33"/>
      <c r="N24" s="33"/>
      <c r="O24" s="33"/>
      <c r="P24" s="33"/>
      <c r="Q24" s="32"/>
      <c r="V24" s="27"/>
      <c r="W24" s="28"/>
      <c r="X24" s="14">
        <v>2</v>
      </c>
      <c r="Y24" s="1">
        <v>17</v>
      </c>
      <c r="Z24" s="29"/>
      <c r="AA24" s="20">
        <v>10</v>
      </c>
      <c r="AB24" s="1">
        <v>5</v>
      </c>
      <c r="AC24" s="1">
        <v>3.25</v>
      </c>
      <c r="AE24" s="26"/>
      <c r="AF24" s="26"/>
      <c r="AG24" s="1">
        <v>3</v>
      </c>
      <c r="AH24" s="26"/>
      <c r="AI24" s="29"/>
      <c r="AJ24" s="29"/>
      <c r="AK24" s="1">
        <v>9</v>
      </c>
      <c r="AL24" s="1">
        <v>9</v>
      </c>
      <c r="AM24" s="1">
        <v>2.75</v>
      </c>
      <c r="AN24" s="1">
        <v>2</v>
      </c>
      <c r="AO24" s="1">
        <v>30</v>
      </c>
      <c r="AP24" s="1">
        <v>9</v>
      </c>
      <c r="AQ24" s="1">
        <v>9</v>
      </c>
      <c r="AR24" s="1">
        <v>2.5</v>
      </c>
      <c r="AS24" s="17"/>
    </row>
    <row r="25" spans="2:46" x14ac:dyDescent="0.25">
      <c r="B25" s="2"/>
      <c r="C25" s="2"/>
      <c r="D25" s="2"/>
      <c r="E25" s="2"/>
      <c r="F25" s="2" t="s">
        <v>31</v>
      </c>
      <c r="V25" s="27"/>
      <c r="W25" s="28"/>
      <c r="X25" s="14">
        <v>2</v>
      </c>
      <c r="Y25" s="1">
        <v>26</v>
      </c>
      <c r="Z25" s="29"/>
      <c r="AA25" s="20">
        <v>10</v>
      </c>
      <c r="AB25" s="1">
        <v>5</v>
      </c>
      <c r="AC25" s="1">
        <v>2.5</v>
      </c>
      <c r="AK25" s="1"/>
      <c r="AL25" s="1"/>
      <c r="AM25" s="1"/>
      <c r="AS25" s="17"/>
    </row>
    <row r="26" spans="2:46" x14ac:dyDescent="0.25">
      <c r="B26" s="2"/>
      <c r="C26" s="2"/>
      <c r="D26" s="2"/>
      <c r="E26" s="2"/>
      <c r="F26" s="2"/>
      <c r="V26" s="27"/>
      <c r="W26" s="28"/>
      <c r="X26" s="1">
        <v>2</v>
      </c>
      <c r="Y26" s="1">
        <v>32</v>
      </c>
      <c r="Z26" s="29"/>
      <c r="AA26" s="20">
        <v>10</v>
      </c>
      <c r="AB26" s="1">
        <v>5</v>
      </c>
      <c r="AC26" s="1">
        <v>1.75</v>
      </c>
      <c r="AE26" s="1"/>
      <c r="AJ26" s="17"/>
    </row>
    <row r="27" spans="2:46" x14ac:dyDescent="0.25">
      <c r="B27" s="2"/>
      <c r="C27" s="2"/>
      <c r="D27" s="2"/>
      <c r="E27" s="2"/>
      <c r="F27" s="2"/>
      <c r="G27" s="10" t="s">
        <v>32</v>
      </c>
      <c r="V27" s="27"/>
      <c r="W27" s="28"/>
      <c r="X27" s="14">
        <v>2</v>
      </c>
      <c r="Y27" s="1">
        <v>37</v>
      </c>
      <c r="Z27" s="29"/>
      <c r="AA27" s="20">
        <v>10</v>
      </c>
      <c r="AB27" s="1">
        <v>5</v>
      </c>
      <c r="AC27" s="1">
        <v>0.75</v>
      </c>
      <c r="AE27" s="1"/>
      <c r="AJ27" s="17"/>
    </row>
    <row r="28" spans="2:46" x14ac:dyDescent="0.25">
      <c r="B28" s="2"/>
      <c r="C28" s="2"/>
      <c r="D28" s="2"/>
      <c r="E28" s="2"/>
      <c r="F28" s="2" t="s">
        <v>29</v>
      </c>
      <c r="V28" s="27" t="s">
        <v>64</v>
      </c>
      <c r="W28" s="28" t="s">
        <v>65</v>
      </c>
      <c r="X28" s="14">
        <v>2</v>
      </c>
      <c r="Y28" s="1">
        <v>2</v>
      </c>
      <c r="Z28" s="29">
        <v>303</v>
      </c>
      <c r="AA28" s="1">
        <v>5</v>
      </c>
      <c r="AB28" s="1">
        <v>0</v>
      </c>
      <c r="AC28" s="1">
        <v>4.25</v>
      </c>
    </row>
    <row r="29" spans="2:46" x14ac:dyDescent="0.25">
      <c r="V29" s="27"/>
      <c r="W29" s="28"/>
      <c r="X29" s="1">
        <v>2</v>
      </c>
      <c r="Y29" s="1">
        <v>14</v>
      </c>
      <c r="Z29" s="29"/>
      <c r="AA29" s="1">
        <v>5</v>
      </c>
      <c r="AB29" s="1">
        <v>0</v>
      </c>
      <c r="AC29" s="1">
        <v>3.25</v>
      </c>
      <c r="AG29" t="s">
        <v>74</v>
      </c>
    </row>
    <row r="30" spans="2:46" x14ac:dyDescent="0.25">
      <c r="V30" s="27"/>
      <c r="W30" s="28"/>
      <c r="X30" s="14">
        <v>2</v>
      </c>
      <c r="Y30" s="1">
        <v>23</v>
      </c>
      <c r="Z30" s="29"/>
      <c r="AA30" s="1">
        <v>5</v>
      </c>
      <c r="AB30" s="1">
        <v>0</v>
      </c>
      <c r="AC30" s="1">
        <v>2.5</v>
      </c>
      <c r="AG30" t="s">
        <v>75</v>
      </c>
    </row>
    <row r="31" spans="2:46" x14ac:dyDescent="0.25">
      <c r="V31" s="27"/>
      <c r="W31" s="28"/>
      <c r="X31" s="14">
        <v>2</v>
      </c>
      <c r="Y31" s="1">
        <v>33</v>
      </c>
      <c r="Z31" s="29"/>
      <c r="AA31" s="1">
        <v>5</v>
      </c>
      <c r="AB31" s="1">
        <v>0</v>
      </c>
      <c r="AC31" s="1">
        <v>1.75</v>
      </c>
      <c r="AG31" t="s">
        <v>76</v>
      </c>
      <c r="AK31" t="s">
        <v>87</v>
      </c>
    </row>
    <row r="32" spans="2:46" x14ac:dyDescent="0.25">
      <c r="V32" s="27"/>
      <c r="W32" s="28"/>
      <c r="X32" s="1">
        <v>2</v>
      </c>
      <c r="Y32" s="1">
        <v>38</v>
      </c>
      <c r="Z32" s="29"/>
      <c r="AA32" s="1">
        <v>5</v>
      </c>
      <c r="AB32" s="1">
        <v>0</v>
      </c>
      <c r="AC32" s="1">
        <v>0.75</v>
      </c>
      <c r="AG32" t="s">
        <v>77</v>
      </c>
      <c r="AK32" t="s">
        <v>88</v>
      </c>
    </row>
    <row r="33" spans="14:39" x14ac:dyDescent="0.25">
      <c r="V33" s="27" t="s">
        <v>68</v>
      </c>
      <c r="W33" s="28" t="s">
        <v>69</v>
      </c>
      <c r="X33" s="14">
        <v>2</v>
      </c>
      <c r="Y33" s="1">
        <v>4</v>
      </c>
      <c r="Z33" s="29">
        <v>304</v>
      </c>
      <c r="AA33" s="1">
        <v>5</v>
      </c>
      <c r="AB33" s="20">
        <v>10</v>
      </c>
      <c r="AC33" s="1">
        <v>4.25</v>
      </c>
      <c r="AG33" t="s">
        <v>78</v>
      </c>
      <c r="AK33" t="s">
        <v>89</v>
      </c>
    </row>
    <row r="34" spans="14:39" x14ac:dyDescent="0.25">
      <c r="V34" s="27"/>
      <c r="W34" s="28"/>
      <c r="X34" s="1">
        <v>2</v>
      </c>
      <c r="Y34" s="1">
        <v>15</v>
      </c>
      <c r="Z34" s="29"/>
      <c r="AA34" s="1">
        <v>5</v>
      </c>
      <c r="AB34" s="20">
        <v>10</v>
      </c>
      <c r="AC34" s="1">
        <v>3.25</v>
      </c>
      <c r="AG34" t="s">
        <v>79</v>
      </c>
      <c r="AK34" t="s">
        <v>90</v>
      </c>
    </row>
    <row r="35" spans="14:39" x14ac:dyDescent="0.25">
      <c r="V35" s="27"/>
      <c r="W35" s="28"/>
      <c r="X35" s="14">
        <v>2</v>
      </c>
      <c r="Y35" s="1">
        <v>24</v>
      </c>
      <c r="Z35" s="29"/>
      <c r="AA35" s="1">
        <v>5</v>
      </c>
      <c r="AB35" s="20">
        <v>10</v>
      </c>
      <c r="AC35" s="1">
        <v>2.5</v>
      </c>
      <c r="AF35" s="24"/>
      <c r="AG35" s="24" t="s">
        <v>80</v>
      </c>
      <c r="AH35" s="24"/>
      <c r="AI35" s="24"/>
      <c r="AK35" t="s">
        <v>91</v>
      </c>
    </row>
    <row r="36" spans="14:39" x14ac:dyDescent="0.25">
      <c r="N36" s="32"/>
      <c r="O36" s="32"/>
      <c r="P36" s="32"/>
      <c r="Q36" s="32"/>
      <c r="R36" s="36"/>
      <c r="V36" s="27"/>
      <c r="W36" s="28"/>
      <c r="X36" s="14">
        <v>2</v>
      </c>
      <c r="Y36" s="1">
        <v>34</v>
      </c>
      <c r="Z36" s="29"/>
      <c r="AA36" s="1">
        <v>5</v>
      </c>
      <c r="AB36" s="20">
        <v>10</v>
      </c>
      <c r="AC36" s="1">
        <v>1.75</v>
      </c>
      <c r="AG36" t="s">
        <v>81</v>
      </c>
      <c r="AK36" t="s">
        <v>92</v>
      </c>
    </row>
    <row r="37" spans="14:39" x14ac:dyDescent="0.25">
      <c r="V37" s="27"/>
      <c r="W37" s="28"/>
      <c r="X37" s="1">
        <v>2</v>
      </c>
      <c r="Y37" s="1">
        <v>39</v>
      </c>
      <c r="Z37" s="29"/>
      <c r="AA37" s="1">
        <v>5</v>
      </c>
      <c r="AB37" s="20">
        <v>10</v>
      </c>
      <c r="AC37" s="1">
        <v>0.75</v>
      </c>
      <c r="AG37" t="s">
        <v>82</v>
      </c>
      <c r="AK37" t="s">
        <v>93</v>
      </c>
    </row>
    <row r="38" spans="14:39" x14ac:dyDescent="0.25">
      <c r="V38" s="27" t="s">
        <v>72</v>
      </c>
      <c r="W38" s="28" t="s">
        <v>70</v>
      </c>
      <c r="X38" s="14">
        <v>2</v>
      </c>
      <c r="Y38" s="26">
        <v>3</v>
      </c>
      <c r="Z38" s="29">
        <v>305</v>
      </c>
      <c r="AA38" s="26">
        <v>5</v>
      </c>
      <c r="AB38" s="26">
        <v>5</v>
      </c>
      <c r="AC38" s="26">
        <v>5</v>
      </c>
      <c r="AG38" t="s">
        <v>83</v>
      </c>
    </row>
    <row r="39" spans="14:39" x14ac:dyDescent="0.25">
      <c r="V39" s="27"/>
      <c r="W39" s="28"/>
      <c r="X39" s="1">
        <v>2</v>
      </c>
      <c r="Y39" s="26"/>
      <c r="Z39" s="29"/>
      <c r="AA39" s="26"/>
      <c r="AB39" s="26"/>
      <c r="AC39" s="26"/>
      <c r="AF39" s="24"/>
      <c r="AG39" s="24" t="s">
        <v>84</v>
      </c>
      <c r="AH39" s="24"/>
      <c r="AI39" s="24"/>
    </row>
    <row r="40" spans="14:39" x14ac:dyDescent="0.25">
      <c r="V40" s="27"/>
      <c r="W40" s="28"/>
      <c r="X40" s="14">
        <v>2</v>
      </c>
      <c r="Y40" s="26"/>
      <c r="Z40" s="29"/>
      <c r="AA40" s="26"/>
      <c r="AB40" s="26"/>
      <c r="AC40" s="26"/>
      <c r="AG40" t="s">
        <v>85</v>
      </c>
    </row>
    <row r="41" spans="14:39" x14ac:dyDescent="0.25">
      <c r="V41" s="27"/>
      <c r="W41" s="28"/>
      <c r="X41" s="14">
        <v>2</v>
      </c>
      <c r="Y41" s="26"/>
      <c r="Z41" s="29"/>
      <c r="AA41" s="26"/>
      <c r="AB41" s="26"/>
      <c r="AC41" s="26"/>
      <c r="AG41" t="s">
        <v>86</v>
      </c>
    </row>
    <row r="42" spans="14:39" x14ac:dyDescent="0.25">
      <c r="V42" s="27"/>
      <c r="W42" s="28"/>
      <c r="X42" s="1">
        <v>2</v>
      </c>
      <c r="Y42" s="26"/>
      <c r="Z42" s="29"/>
      <c r="AA42" s="26"/>
      <c r="AB42" s="26"/>
      <c r="AC42" s="26"/>
    </row>
    <row r="43" spans="14:39" x14ac:dyDescent="0.25">
      <c r="V43" s="27" t="s">
        <v>71</v>
      </c>
      <c r="W43" s="28" t="s">
        <v>73</v>
      </c>
      <c r="X43" s="14">
        <v>2</v>
      </c>
      <c r="Y43" s="26">
        <v>40</v>
      </c>
      <c r="Z43" s="29">
        <v>306</v>
      </c>
      <c r="AA43" s="26">
        <v>5</v>
      </c>
      <c r="AB43" s="26">
        <v>5</v>
      </c>
      <c r="AC43" s="26">
        <v>0</v>
      </c>
      <c r="AE43" s="1"/>
      <c r="AH43" s="1"/>
      <c r="AI43" s="1"/>
      <c r="AJ43" s="1"/>
      <c r="AK43" s="1"/>
      <c r="AL43" s="1"/>
      <c r="AM43" s="1"/>
    </row>
    <row r="44" spans="14:39" x14ac:dyDescent="0.25">
      <c r="V44" s="27"/>
      <c r="W44" s="28"/>
      <c r="X44" s="1">
        <v>2</v>
      </c>
      <c r="Y44" s="26"/>
      <c r="Z44" s="29"/>
      <c r="AA44" s="26"/>
      <c r="AB44" s="26"/>
      <c r="AC44" s="26"/>
      <c r="AE44" s="1"/>
    </row>
    <row r="45" spans="14:39" x14ac:dyDescent="0.25">
      <c r="V45" s="27"/>
      <c r="W45" s="28"/>
      <c r="X45" s="14">
        <v>2</v>
      </c>
      <c r="Y45" s="26"/>
      <c r="Z45" s="29"/>
      <c r="AA45" s="26"/>
      <c r="AB45" s="26"/>
      <c r="AC45" s="26"/>
      <c r="AE45" s="1"/>
    </row>
    <row r="46" spans="14:39" x14ac:dyDescent="0.25">
      <c r="V46" s="27"/>
      <c r="W46" s="28"/>
      <c r="X46" s="14">
        <v>2</v>
      </c>
      <c r="Y46" s="26"/>
      <c r="Z46" s="29"/>
      <c r="AA46" s="26"/>
      <c r="AB46" s="26"/>
      <c r="AC46" s="26"/>
      <c r="AE46" s="1"/>
    </row>
    <row r="47" spans="14:39" x14ac:dyDescent="0.25">
      <c r="V47" s="27"/>
      <c r="W47" s="28"/>
      <c r="X47" s="1">
        <v>2</v>
      </c>
      <c r="Y47" s="26"/>
      <c r="Z47" s="29"/>
      <c r="AA47" s="26"/>
      <c r="AB47" s="26"/>
      <c r="AC47" s="26"/>
      <c r="AE47" s="1"/>
    </row>
    <row r="48" spans="14:39" x14ac:dyDescent="0.25">
      <c r="V48" s="22"/>
      <c r="W48" s="20"/>
      <c r="X48" s="1"/>
      <c r="Y48" s="1"/>
      <c r="Z48" s="19"/>
      <c r="AB48" s="1"/>
      <c r="AC48" s="21"/>
      <c r="AE48" s="1"/>
    </row>
    <row r="49" spans="22:31" x14ac:dyDescent="0.25">
      <c r="V49" s="22"/>
      <c r="W49" s="20"/>
      <c r="X49" s="1"/>
      <c r="Y49" s="1"/>
      <c r="Z49" s="19"/>
      <c r="AB49" s="1"/>
      <c r="AC49" s="21"/>
      <c r="AE49" s="1"/>
    </row>
    <row r="50" spans="22:31" x14ac:dyDescent="0.25">
      <c r="V50" s="22"/>
      <c r="W50" s="20"/>
      <c r="X50" s="1"/>
      <c r="Y50" s="1"/>
      <c r="Z50" s="19"/>
      <c r="AB50" s="1"/>
      <c r="AC50" s="21"/>
      <c r="AE50" s="1"/>
    </row>
    <row r="51" spans="22:31" x14ac:dyDescent="0.25">
      <c r="V51" s="22"/>
      <c r="W51" s="20"/>
      <c r="X51" s="1"/>
      <c r="Y51" s="1"/>
      <c r="Z51" s="19"/>
      <c r="AB51" s="1"/>
      <c r="AC51" s="21"/>
      <c r="AE51" s="1"/>
    </row>
    <row r="52" spans="22:31" x14ac:dyDescent="0.25">
      <c r="V52" s="22"/>
      <c r="W52" s="20"/>
      <c r="X52" s="1"/>
      <c r="Y52" s="1"/>
      <c r="Z52" s="19"/>
      <c r="AB52" s="1"/>
      <c r="AC52" s="21"/>
      <c r="AE52" s="1"/>
    </row>
    <row r="53" spans="22:31" x14ac:dyDescent="0.25">
      <c r="V53" s="22"/>
      <c r="W53" s="20"/>
      <c r="X53" s="1"/>
      <c r="Y53" s="1"/>
      <c r="Z53" s="19"/>
      <c r="AB53" s="1"/>
      <c r="AC53" s="21"/>
      <c r="AE53" s="1"/>
    </row>
    <row r="54" spans="22:31" x14ac:dyDescent="0.25">
      <c r="V54" s="22"/>
      <c r="W54" s="20"/>
      <c r="X54" s="1"/>
      <c r="Y54" s="1"/>
      <c r="Z54" s="19"/>
      <c r="AB54" s="1"/>
      <c r="AC54" s="21"/>
      <c r="AE54" s="1"/>
    </row>
    <row r="55" spans="22:31" x14ac:dyDescent="0.25">
      <c r="V55" s="11"/>
      <c r="W55" s="1"/>
      <c r="AA55" s="17"/>
    </row>
    <row r="69" spans="27:36" x14ac:dyDescent="0.25">
      <c r="AJ69" s="17"/>
    </row>
    <row r="80" spans="27:36" x14ac:dyDescent="0.25">
      <c r="AA80" s="1"/>
      <c r="AB80" s="1"/>
      <c r="AC80" s="1"/>
    </row>
  </sheetData>
  <mergeCells count="56">
    <mergeCell ref="AJ22:AJ24"/>
    <mergeCell ref="AI6:AJ6"/>
    <mergeCell ref="AJ7:AJ9"/>
    <mergeCell ref="AJ10:AJ12"/>
    <mergeCell ref="AJ13:AJ15"/>
    <mergeCell ref="AJ16:AJ18"/>
    <mergeCell ref="AJ19:AJ21"/>
    <mergeCell ref="AI7:AI15"/>
    <mergeCell ref="AI16:AI24"/>
    <mergeCell ref="AC38:AC42"/>
    <mergeCell ref="AA43:AA47"/>
    <mergeCell ref="AB43:AB47"/>
    <mergeCell ref="AC43:AC47"/>
    <mergeCell ref="Y43:Y47"/>
    <mergeCell ref="V43:V47"/>
    <mergeCell ref="W43:W47"/>
    <mergeCell ref="Z43:Z47"/>
    <mergeCell ref="AA38:AA42"/>
    <mergeCell ref="AB38:AB42"/>
    <mergeCell ref="V33:V37"/>
    <mergeCell ref="W33:W37"/>
    <mergeCell ref="Z33:Z37"/>
    <mergeCell ref="V38:V42"/>
    <mergeCell ref="W38:W42"/>
    <mergeCell ref="Y38:Y42"/>
    <mergeCell ref="Z38:Z42"/>
    <mergeCell ref="AH22:AH24"/>
    <mergeCell ref="Z18:Z22"/>
    <mergeCell ref="W18:W22"/>
    <mergeCell ref="V18:V22"/>
    <mergeCell ref="V23:V27"/>
    <mergeCell ref="W23:W27"/>
    <mergeCell ref="Z23:Z27"/>
    <mergeCell ref="AH7:AH9"/>
    <mergeCell ref="AF7:AF9"/>
    <mergeCell ref="V28:V32"/>
    <mergeCell ref="W28:W32"/>
    <mergeCell ref="Z28:Z32"/>
    <mergeCell ref="AE7:AE15"/>
    <mergeCell ref="AE16:AE24"/>
    <mergeCell ref="AF10:AF12"/>
    <mergeCell ref="AH10:AH12"/>
    <mergeCell ref="AF13:AF15"/>
    <mergeCell ref="AH13:AH15"/>
    <mergeCell ref="AF16:AF18"/>
    <mergeCell ref="AH16:AH18"/>
    <mergeCell ref="AF19:AF21"/>
    <mergeCell ref="AH19:AH21"/>
    <mergeCell ref="AF22:AF24"/>
    <mergeCell ref="A8:A9"/>
    <mergeCell ref="O11:Q11"/>
    <mergeCell ref="I20:K20"/>
    <mergeCell ref="L20:N20"/>
    <mergeCell ref="O20:Q20"/>
    <mergeCell ref="L11:N11"/>
    <mergeCell ref="I11:K11"/>
  </mergeCells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mesh6_10x10x5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Angel Becerra Serrato</dc:creator>
  <cp:lastModifiedBy>Dominic Angel Becerra Serrato</cp:lastModifiedBy>
  <dcterms:created xsi:type="dcterms:W3CDTF">2026-03-21T19:57:50Z</dcterms:created>
  <dcterms:modified xsi:type="dcterms:W3CDTF">2026-05-10T17:00:32Z</dcterms:modified>
</cp:coreProperties>
</file>